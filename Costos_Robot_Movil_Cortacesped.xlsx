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sej\Documents\FIUNA_2.0\2026-1\(9)Proyecto4\Presupuesto\"/>
    </mc:Choice>
  </mc:AlternateContent>
  <xr:revisionPtr revIDLastSave="0" documentId="13_ncr:1_{2B14B0D3-534F-45E5-8F07-92392D29A888}" xr6:coauthVersionLast="47" xr6:coauthVersionMax="47" xr10:uidLastSave="{00000000-0000-0000-0000-000000000000}"/>
  <bookViews>
    <workbookView xWindow="-108" yWindow="-108" windowWidth="23256" windowHeight="12456" xr2:uid="{9233EB63-B8FC-4379-BCE7-DDD9A6DCBC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5" i="1" l="1"/>
  <c r="Q26" i="1" s="1"/>
  <c r="F34" i="1"/>
  <c r="F33" i="1"/>
  <c r="L19" i="1"/>
  <c r="F42" i="1" l="1"/>
  <c r="F43" i="1" s="1"/>
</calcChain>
</file>

<file path=xl/sharedStrings.xml><?xml version="1.0" encoding="utf-8"?>
<sst xmlns="http://schemas.openxmlformats.org/spreadsheetml/2006/main" count="135" uniqueCount="118">
  <si>
    <t xml:space="preserve">Elementos de Fijación </t>
  </si>
  <si>
    <t>Aterrador AAR 2x1/4</t>
  </si>
  <si>
    <t>Tipo</t>
  </si>
  <si>
    <t>Cantidad</t>
  </si>
  <si>
    <t>Perno INOX PFX 3-0.50 x 20</t>
  </si>
  <si>
    <t>Perno INOX PFX 3-0.50 x 16</t>
  </si>
  <si>
    <t>Tuerca TMA 3-0.50</t>
  </si>
  <si>
    <t>Arandela zl ALG 1/8</t>
  </si>
  <si>
    <t>Perno INOX PMX 4-0.70 x16</t>
  </si>
  <si>
    <t>Tuerca TMA 4-0.70</t>
  </si>
  <si>
    <t>Arandela zi ALG 5/32</t>
  </si>
  <si>
    <t>Perno INOX PMX 5-0.80x20</t>
  </si>
  <si>
    <t>Tuerca TMX 5-0.80</t>
  </si>
  <si>
    <t>Arandela zi ALG 3/16</t>
  </si>
  <si>
    <t>Acoplador de brida de aleación de aliminio M6</t>
  </si>
  <si>
    <t>Adaptador de hélice ipo bala de aluminio 3.17-5</t>
  </si>
  <si>
    <t>Placa PCB</t>
  </si>
  <si>
    <t>ADC1</t>
  </si>
  <si>
    <t>ADS1015IDGSR</t>
  </si>
  <si>
    <t>AP2281</t>
  </si>
  <si>
    <t>AP22814AW5-7</t>
  </si>
  <si>
    <t>1571563-6</t>
  </si>
  <si>
    <t>BUZZER1</t>
  </si>
  <si>
    <t>CMI-9705-0580-SMT-TR</t>
  </si>
  <si>
    <t>C1,C5</t>
  </si>
  <si>
    <t>100nF</t>
  </si>
  <si>
    <t>1uF</t>
  </si>
  <si>
    <t>10uF</t>
  </si>
  <si>
    <t>C6</t>
  </si>
  <si>
    <t>470uF</t>
  </si>
  <si>
    <t>4.7uF</t>
  </si>
  <si>
    <t>D1</t>
  </si>
  <si>
    <t>SMF5.0A</t>
  </si>
  <si>
    <t>D2</t>
  </si>
  <si>
    <t>MBR120LSFT3G</t>
  </si>
  <si>
    <t>ESP1</t>
  </si>
  <si>
    <t>ESP32-S3-WROOM-1</t>
  </si>
  <si>
    <t>IMU1</t>
  </si>
  <si>
    <t>LSM6DSO32TR</t>
  </si>
  <si>
    <t>LED_3V1</t>
  </si>
  <si>
    <t>LTST-C170KGKT</t>
  </si>
  <si>
    <t>LED_5V1</t>
  </si>
  <si>
    <t>LTST-C170KRKT</t>
  </si>
  <si>
    <t>MFU1</t>
  </si>
  <si>
    <t>Q1</t>
  </si>
  <si>
    <t>MMBT3904LT3G</t>
  </si>
  <si>
    <t>10k</t>
  </si>
  <si>
    <t>5.1k</t>
  </si>
  <si>
    <t>20K</t>
  </si>
  <si>
    <t>100K</t>
  </si>
  <si>
    <t>22K</t>
  </si>
  <si>
    <t>4.7K</t>
  </si>
  <si>
    <t>1k</t>
  </si>
  <si>
    <t>150k</t>
  </si>
  <si>
    <t>REG_3V3</t>
  </si>
  <si>
    <t>LDL1117S33R</t>
  </si>
  <si>
    <t>REG_5V1</t>
  </si>
  <si>
    <t>USB_C</t>
  </si>
  <si>
    <t>USBLC6</t>
  </si>
  <si>
    <t>USBLC6-2SC6</t>
  </si>
  <si>
    <t xml:space="preserve">Especificaciones </t>
  </si>
  <si>
    <t>Precio unitario USD</t>
  </si>
  <si>
    <t xml:space="preserve">Bornera p/ entrada de Bateria </t>
  </si>
  <si>
    <t>5.08 -  2P</t>
  </si>
  <si>
    <t>Precio Total USD</t>
  </si>
  <si>
    <t>Pulsadors p/ BOOT1,EN1</t>
  </si>
  <si>
    <t xml:space="preserve">Borneras p/ Finales de carreras </t>
  </si>
  <si>
    <t>2,54 - 2P</t>
  </si>
  <si>
    <t>MFU0805FF01000P1</t>
  </si>
  <si>
    <t>Conector USB tipo C</t>
  </si>
  <si>
    <t>R1,R4,R5,R6,R7,R8,R12,R14,R29</t>
  </si>
  <si>
    <t>R2,R3</t>
  </si>
  <si>
    <t>R9,R13,R15</t>
  </si>
  <si>
    <t>R10,R11,R16,R17,R20,R24,R25,R26,R32,R33,R34,R35,R36</t>
  </si>
  <si>
    <t>R19</t>
  </si>
  <si>
    <t>R21,R22</t>
  </si>
  <si>
    <t>R23,R30,R31</t>
  </si>
  <si>
    <t>R27</t>
  </si>
  <si>
    <t>R18,R28</t>
  </si>
  <si>
    <t>C2</t>
  </si>
  <si>
    <t>C3</t>
  </si>
  <si>
    <t>CM6</t>
  </si>
  <si>
    <t>Tira de Conector JST</t>
  </si>
  <si>
    <t>2,54 - 1x40</t>
  </si>
  <si>
    <t xml:space="preserve">Tarifa </t>
  </si>
  <si>
    <t>Total USD</t>
  </si>
  <si>
    <t>Total Gs</t>
  </si>
  <si>
    <t>Cambio</t>
  </si>
  <si>
    <t xml:space="preserve"> </t>
  </si>
  <si>
    <t>Precio Total Gs</t>
  </si>
  <si>
    <t>Hardware Robótico</t>
  </si>
  <si>
    <t>Interruptor KCD4  - 125 VAC-20A</t>
  </si>
  <si>
    <t xml:space="preserve">Cuchilla cortadora de Cesped </t>
  </si>
  <si>
    <t>Cable Dupont F-F - 5Pin - 20 cm</t>
  </si>
  <si>
    <t>Resorte de compresión 0.7x9x20 mm</t>
  </si>
  <si>
    <t>Terminal preaislado pala hembra 2.8mm</t>
  </si>
  <si>
    <t>Módulo GPS GT-U7</t>
  </si>
  <si>
    <t>Sensor Ultrasónico HC-SR04</t>
  </si>
  <si>
    <t>Interruptor SPST - 125V - 10A</t>
  </si>
  <si>
    <t>MPU6050</t>
  </si>
  <si>
    <t>GPS GT-U7</t>
  </si>
  <si>
    <t>Sensor de Inclinación  SW520D</t>
  </si>
  <si>
    <t xml:space="preserve">Modulo indicador de nivel de bateria </t>
  </si>
  <si>
    <t>Finales de Carrera KW12</t>
  </si>
  <si>
    <t>Magnetómetro GY-511</t>
  </si>
  <si>
    <t>Motor Brushless A2212 1000 KV</t>
  </si>
  <si>
    <t>Controlador ESC - 40A/2-4S</t>
  </si>
  <si>
    <t xml:space="preserve">Modulo Zumbador </t>
  </si>
  <si>
    <t xml:space="preserve">Mini560 </t>
  </si>
  <si>
    <t>Hardware Robótico (Cada módulo)</t>
  </si>
  <si>
    <t>Bateria Lipo 4S 20000 mAh</t>
  </si>
  <si>
    <t>Motor DC 37D57L</t>
  </si>
  <si>
    <t>Driver MDD10A</t>
  </si>
  <si>
    <t>Conector Macho TX60</t>
  </si>
  <si>
    <t>Conector Hembra TX60</t>
  </si>
  <si>
    <t>Adaptdor de TX90 a TX60</t>
  </si>
  <si>
    <t>Cable Dupont F-F - 4Pin - 20 cm</t>
  </si>
  <si>
    <t>Tarifa - Envio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</si>
</sst>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9" formatCode="_ * #,##0.00_ ;_ * \-#,##0.00_ ;_ * &quot;-&quot;_ ;_ @_ "/>
    <numFmt numFmtId="170" formatCode="_ * #,##0.000_ ;_ * \-#,##0.000_ ;_ * &quot;-&quot;_ ;_ @_ "/>
    <numFmt numFmtId="173" formatCode="_ * #,##0.0000_ ;_ * \-#,##0.0000_ ;_ * &quot;-&quot;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212529"/>
      <name val="Calibri "/>
    </font>
    <font>
      <sz val="10"/>
      <color rgb="FF21252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41" fontId="0" fillId="0" borderId="1" xfId="1" applyFont="1" applyBorder="1"/>
    <xf numFmtId="0" fontId="0" fillId="2" borderId="1" xfId="0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41" fontId="0" fillId="4" borderId="1" xfId="1" applyFont="1" applyFill="1" applyBorder="1"/>
    <xf numFmtId="41" fontId="0" fillId="4" borderId="0" xfId="1" applyFont="1" applyFill="1" applyBorder="1"/>
    <xf numFmtId="169" fontId="0" fillId="0" borderId="1" xfId="1" applyNumberFormat="1" applyFont="1" applyBorder="1"/>
    <xf numFmtId="2" fontId="0" fillId="0" borderId="1" xfId="1" applyNumberFormat="1" applyFont="1" applyBorder="1"/>
    <xf numFmtId="169" fontId="0" fillId="4" borderId="1" xfId="1" quotePrefix="1" applyNumberFormat="1" applyFont="1" applyFill="1" applyBorder="1"/>
    <xf numFmtId="169" fontId="0" fillId="4" borderId="1" xfId="1" applyNumberFormat="1" applyFont="1" applyFill="1" applyBorder="1"/>
    <xf numFmtId="0" fontId="0" fillId="4" borderId="1" xfId="0" applyFill="1" applyBorder="1" applyAlignment="1">
      <alignment horizontal="left"/>
    </xf>
    <xf numFmtId="170" fontId="0" fillId="4" borderId="1" xfId="1" applyNumberFormat="1" applyFont="1" applyFill="1" applyBorder="1"/>
    <xf numFmtId="173" fontId="0" fillId="4" borderId="1" xfId="1" applyNumberFormat="1" applyFont="1" applyFill="1" applyBorder="1"/>
    <xf numFmtId="0" fontId="0" fillId="0" borderId="0" xfId="0" applyBorder="1"/>
    <xf numFmtId="169" fontId="0" fillId="4" borderId="0" xfId="1" applyNumberFormat="1" applyFont="1" applyFill="1" applyBorder="1"/>
    <xf numFmtId="169" fontId="0" fillId="0" borderId="0" xfId="1" applyNumberFormat="1" applyFont="1" applyBorder="1"/>
    <xf numFmtId="2" fontId="0" fillId="0" borderId="0" xfId="1" applyNumberFormat="1" applyFont="1" applyBorder="1"/>
    <xf numFmtId="169" fontId="0" fillId="0" borderId="1" xfId="1" applyNumberFormat="1" applyFont="1" applyFill="1" applyBorder="1"/>
    <xf numFmtId="2" fontId="0" fillId="0" borderId="1" xfId="0" applyNumberFormat="1" applyBorder="1"/>
    <xf numFmtId="0" fontId="3" fillId="0" borderId="1" xfId="0" applyFont="1" applyBorder="1"/>
    <xf numFmtId="2" fontId="2" fillId="0" borderId="1" xfId="0" applyNumberFormat="1" applyFont="1" applyBorder="1"/>
    <xf numFmtId="0" fontId="2" fillId="0" borderId="1" xfId="0" applyFont="1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0" xfId="0" applyFill="1" applyBorder="1"/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6" borderId="1" xfId="0" applyFill="1" applyBorder="1"/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2" xfId="0" applyFill="1" applyBorder="1" applyAlignment="1">
      <alignment wrapText="1"/>
    </xf>
    <xf numFmtId="0" fontId="0" fillId="0" borderId="2" xfId="0" applyFill="1" applyBorder="1"/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3" borderId="1" xfId="0" applyFill="1" applyBorder="1" applyAlignment="1">
      <alignment horizontal="center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E9EC-ED9C-4916-BCD3-CDA352618AD3}">
  <dimension ref="B3:Z50"/>
  <sheetViews>
    <sheetView tabSelected="1" topLeftCell="F15" workbookViewId="0">
      <selection activeCell="F43" sqref="F43"/>
    </sheetView>
  </sheetViews>
  <sheetFormatPr baseColWidth="10" defaultRowHeight="14.4"/>
  <cols>
    <col min="2" max="2" width="29.21875" customWidth="1"/>
    <col min="3" max="3" width="8.21875" bestFit="1" customWidth="1"/>
    <col min="4" max="4" width="20.77734375" bestFit="1" customWidth="1"/>
    <col min="5" max="5" width="16.88671875" bestFit="1" customWidth="1"/>
    <col min="6" max="6" width="14.6640625" bestFit="1" customWidth="1"/>
    <col min="10" max="10" width="26.5546875" customWidth="1"/>
    <col min="12" max="12" width="13.21875" bestFit="1" customWidth="1"/>
    <col min="15" max="15" width="24" bestFit="1" customWidth="1"/>
    <col min="17" max="17" width="14.6640625" bestFit="1" customWidth="1"/>
    <col min="20" max="20" width="34.109375" bestFit="1" customWidth="1"/>
    <col min="24" max="24" width="26.109375" bestFit="1" customWidth="1"/>
    <col min="26" max="26" width="14.6640625" bestFit="1" customWidth="1"/>
  </cols>
  <sheetData>
    <row r="3" spans="2:26">
      <c r="B3" s="8" t="s">
        <v>16</v>
      </c>
      <c r="C3" s="8"/>
      <c r="D3" s="8"/>
      <c r="E3" s="8"/>
      <c r="F3" s="8"/>
      <c r="J3" s="4" t="s">
        <v>0</v>
      </c>
      <c r="K3" s="4"/>
      <c r="L3" s="4"/>
      <c r="O3" s="44" t="s">
        <v>90</v>
      </c>
      <c r="P3" s="44"/>
      <c r="Q3" s="44"/>
      <c r="X3" s="28" t="s">
        <v>109</v>
      </c>
      <c r="Y3" s="28"/>
      <c r="Z3" s="28"/>
    </row>
    <row r="4" spans="2:26">
      <c r="B4" s="1" t="s">
        <v>2</v>
      </c>
      <c r="C4" s="1" t="s">
        <v>3</v>
      </c>
      <c r="D4" s="1" t="s">
        <v>60</v>
      </c>
      <c r="E4" s="1" t="s">
        <v>61</v>
      </c>
      <c r="F4" s="1" t="s">
        <v>64</v>
      </c>
      <c r="J4" s="2" t="s">
        <v>2</v>
      </c>
      <c r="K4" s="1" t="s">
        <v>3</v>
      </c>
      <c r="L4" s="1" t="s">
        <v>89</v>
      </c>
      <c r="O4" s="6" t="s">
        <v>2</v>
      </c>
      <c r="P4" s="6" t="s">
        <v>3</v>
      </c>
      <c r="Q4" s="6" t="s">
        <v>64</v>
      </c>
      <c r="X4" s="36" t="s">
        <v>2</v>
      </c>
      <c r="Y4" s="36" t="s">
        <v>3</v>
      </c>
      <c r="Z4" s="36" t="s">
        <v>64</v>
      </c>
    </row>
    <row r="5" spans="2:26">
      <c r="B5" s="5" t="s">
        <v>17</v>
      </c>
      <c r="C5" s="27">
        <v>2</v>
      </c>
      <c r="D5" s="6" t="s">
        <v>18</v>
      </c>
      <c r="E5" s="24">
        <v>3.07</v>
      </c>
      <c r="F5" s="25">
        <v>6.14</v>
      </c>
      <c r="J5" s="2" t="s">
        <v>1</v>
      </c>
      <c r="K5" s="7">
        <v>10</v>
      </c>
      <c r="L5" s="3">
        <v>550</v>
      </c>
      <c r="O5" t="s">
        <v>110</v>
      </c>
      <c r="P5">
        <v>1</v>
      </c>
      <c r="Q5">
        <v>185.58</v>
      </c>
      <c r="X5" s="1" t="s">
        <v>100</v>
      </c>
      <c r="Y5" s="1">
        <v>1</v>
      </c>
      <c r="Z5" s="1">
        <v>4.3899999999999997</v>
      </c>
    </row>
    <row r="6" spans="2:26">
      <c r="B6" s="5" t="s">
        <v>19</v>
      </c>
      <c r="C6" s="27">
        <v>2</v>
      </c>
      <c r="D6" s="6" t="s">
        <v>20</v>
      </c>
      <c r="E6" s="24">
        <v>0.4</v>
      </c>
      <c r="F6" s="25">
        <v>0.8</v>
      </c>
      <c r="J6" s="2" t="s">
        <v>5</v>
      </c>
      <c r="K6" s="7">
        <v>30</v>
      </c>
      <c r="L6" s="3">
        <v>7380</v>
      </c>
      <c r="O6" t="s">
        <v>111</v>
      </c>
      <c r="P6">
        <v>2</v>
      </c>
      <c r="Q6">
        <v>17.72</v>
      </c>
      <c r="X6" s="1" t="s">
        <v>97</v>
      </c>
      <c r="Y6" s="1">
        <v>3</v>
      </c>
      <c r="Z6" s="1">
        <v>1.49</v>
      </c>
    </row>
    <row r="7" spans="2:26" ht="28.8">
      <c r="B7" s="5" t="s">
        <v>62</v>
      </c>
      <c r="C7" s="27">
        <v>1</v>
      </c>
      <c r="D7" s="6" t="s">
        <v>63</v>
      </c>
      <c r="E7" s="14">
        <v>0.57999999999999996</v>
      </c>
      <c r="F7" s="12">
        <v>0.57999999999999996</v>
      </c>
      <c r="J7" s="2" t="s">
        <v>4</v>
      </c>
      <c r="K7" s="7">
        <v>30</v>
      </c>
      <c r="L7" s="3">
        <v>7650</v>
      </c>
      <c r="O7" t="s">
        <v>112</v>
      </c>
      <c r="P7">
        <v>1</v>
      </c>
      <c r="Q7">
        <v>23.48</v>
      </c>
      <c r="X7" s="2" t="s">
        <v>102</v>
      </c>
      <c r="Y7" s="1">
        <v>1</v>
      </c>
      <c r="Z7" s="1">
        <v>1.47</v>
      </c>
    </row>
    <row r="8" spans="2:26">
      <c r="B8" s="5" t="s">
        <v>65</v>
      </c>
      <c r="C8" s="27">
        <v>2</v>
      </c>
      <c r="D8" s="6" t="s">
        <v>21</v>
      </c>
      <c r="E8" s="14">
        <v>0.48</v>
      </c>
      <c r="F8" s="12">
        <v>0.96</v>
      </c>
      <c r="J8" s="2" t="s">
        <v>6</v>
      </c>
      <c r="K8" s="7">
        <v>60</v>
      </c>
      <c r="L8" s="3">
        <v>5880</v>
      </c>
      <c r="O8" t="s">
        <v>113</v>
      </c>
      <c r="P8">
        <v>5</v>
      </c>
      <c r="Q8">
        <v>3.54</v>
      </c>
      <c r="X8" s="1" t="s">
        <v>103</v>
      </c>
      <c r="Y8" s="1">
        <v>3</v>
      </c>
      <c r="Z8" s="1">
        <v>1.57</v>
      </c>
    </row>
    <row r="9" spans="2:26">
      <c r="B9" s="5" t="s">
        <v>66</v>
      </c>
      <c r="C9" s="27">
        <v>4</v>
      </c>
      <c r="D9" s="6" t="s">
        <v>67</v>
      </c>
      <c r="E9" s="9"/>
      <c r="F9" s="12">
        <v>2.76</v>
      </c>
      <c r="J9" s="2" t="s">
        <v>7</v>
      </c>
      <c r="K9" s="7">
        <v>50</v>
      </c>
      <c r="L9" s="3">
        <v>4000</v>
      </c>
      <c r="O9" t="s">
        <v>114</v>
      </c>
      <c r="P9">
        <v>5</v>
      </c>
      <c r="Q9">
        <v>3.54</v>
      </c>
      <c r="X9" s="1" t="s">
        <v>105</v>
      </c>
      <c r="Y9" s="1">
        <v>3</v>
      </c>
      <c r="Z9" s="1">
        <v>14.22</v>
      </c>
    </row>
    <row r="10" spans="2:26">
      <c r="B10" s="5" t="s">
        <v>22</v>
      </c>
      <c r="C10" s="27">
        <v>1</v>
      </c>
      <c r="D10" s="6" t="s">
        <v>23</v>
      </c>
      <c r="E10" s="26">
        <v>2.93</v>
      </c>
      <c r="F10" s="25">
        <v>2.93</v>
      </c>
      <c r="J10" s="2" t="s">
        <v>8</v>
      </c>
      <c r="K10" s="7">
        <v>20</v>
      </c>
      <c r="L10" s="3">
        <v>9240</v>
      </c>
      <c r="O10" t="s">
        <v>115</v>
      </c>
      <c r="P10">
        <v>1</v>
      </c>
      <c r="Q10">
        <v>3.14</v>
      </c>
      <c r="X10" s="1" t="s">
        <v>106</v>
      </c>
      <c r="Y10" s="1">
        <v>3</v>
      </c>
      <c r="Z10" s="1">
        <v>14.85</v>
      </c>
    </row>
    <row r="11" spans="2:26">
      <c r="B11" s="5" t="s">
        <v>24</v>
      </c>
      <c r="C11" s="27">
        <v>10</v>
      </c>
      <c r="D11" s="6" t="s">
        <v>25</v>
      </c>
      <c r="E11" s="16">
        <v>4.2000000000000003E-2</v>
      </c>
      <c r="F11" s="12">
        <v>0.42</v>
      </c>
      <c r="J11" s="2" t="s">
        <v>8</v>
      </c>
      <c r="K11" s="7">
        <v>20</v>
      </c>
      <c r="L11" s="3">
        <v>10400</v>
      </c>
      <c r="O11" s="2" t="s">
        <v>96</v>
      </c>
      <c r="P11" s="1">
        <v>1</v>
      </c>
      <c r="Q11" s="1">
        <v>4.3899999999999997</v>
      </c>
      <c r="X11" s="1" t="s">
        <v>99</v>
      </c>
      <c r="Y11" s="1">
        <v>1</v>
      </c>
      <c r="Z11" s="1">
        <v>1.67</v>
      </c>
    </row>
    <row r="12" spans="2:26">
      <c r="B12" s="5" t="s">
        <v>79</v>
      </c>
      <c r="C12" s="27">
        <v>10</v>
      </c>
      <c r="D12" s="6" t="s">
        <v>26</v>
      </c>
      <c r="E12" s="16">
        <v>9.4E-2</v>
      </c>
      <c r="F12" s="12">
        <v>0.94</v>
      </c>
      <c r="J12" s="2" t="s">
        <v>9</v>
      </c>
      <c r="K12" s="7">
        <v>40</v>
      </c>
      <c r="L12" s="3">
        <v>3200</v>
      </c>
      <c r="O12" s="2" t="s">
        <v>97</v>
      </c>
      <c r="P12" s="1">
        <v>3</v>
      </c>
      <c r="Q12" s="1">
        <v>1.49</v>
      </c>
      <c r="X12" s="1" t="s">
        <v>101</v>
      </c>
      <c r="Y12" s="1">
        <v>1</v>
      </c>
      <c r="Z12" s="1">
        <v>1.03</v>
      </c>
    </row>
    <row r="13" spans="2:26" ht="28.8">
      <c r="B13" s="5" t="s">
        <v>80</v>
      </c>
      <c r="C13" s="27">
        <v>10</v>
      </c>
      <c r="D13" s="6" t="s">
        <v>27</v>
      </c>
      <c r="E13" s="16">
        <v>0.13800000000000001</v>
      </c>
      <c r="F13" s="11">
        <v>1.38</v>
      </c>
      <c r="J13" s="2" t="s">
        <v>10</v>
      </c>
      <c r="K13" s="7">
        <v>50</v>
      </c>
      <c r="L13" s="3">
        <v>5750</v>
      </c>
      <c r="O13" s="2" t="s">
        <v>102</v>
      </c>
      <c r="P13" s="1">
        <v>1</v>
      </c>
      <c r="Q13" s="1">
        <v>1.47</v>
      </c>
      <c r="X13" s="1" t="s">
        <v>104</v>
      </c>
      <c r="Y13" s="1">
        <v>1</v>
      </c>
      <c r="Z13" s="1">
        <v>2.5299999999999998</v>
      </c>
    </row>
    <row r="14" spans="2:26">
      <c r="B14" s="5" t="s">
        <v>81</v>
      </c>
      <c r="C14" s="27">
        <v>4</v>
      </c>
      <c r="D14" s="6" t="s">
        <v>30</v>
      </c>
      <c r="E14" s="14">
        <v>0.12</v>
      </c>
      <c r="F14" s="11">
        <v>0.36</v>
      </c>
      <c r="J14" s="2" t="s">
        <v>11</v>
      </c>
      <c r="K14" s="7">
        <v>10</v>
      </c>
      <c r="L14" s="3">
        <v>9000</v>
      </c>
      <c r="O14" s="2" t="s">
        <v>103</v>
      </c>
      <c r="P14" s="1">
        <v>3</v>
      </c>
      <c r="Q14" s="1">
        <v>1.57</v>
      </c>
      <c r="X14" s="1" t="s">
        <v>107</v>
      </c>
      <c r="Y14" s="1"/>
      <c r="Z14" s="1">
        <v>0.87</v>
      </c>
    </row>
    <row r="15" spans="2:26" ht="28.8">
      <c r="B15" s="5" t="s">
        <v>28</v>
      </c>
      <c r="C15" s="27">
        <v>2</v>
      </c>
      <c r="D15" s="6" t="s">
        <v>29</v>
      </c>
      <c r="E15" s="14">
        <v>1</v>
      </c>
      <c r="F15" s="11">
        <v>2</v>
      </c>
      <c r="J15" s="2" t="s">
        <v>12</v>
      </c>
      <c r="K15" s="7">
        <v>10</v>
      </c>
      <c r="L15" s="3">
        <v>2460</v>
      </c>
      <c r="O15" s="2" t="s">
        <v>105</v>
      </c>
      <c r="P15" s="1">
        <v>3</v>
      </c>
      <c r="Q15" s="1">
        <v>14.22</v>
      </c>
      <c r="X15" s="1"/>
      <c r="Y15" s="1"/>
      <c r="Z15" s="1"/>
    </row>
    <row r="16" spans="2:26">
      <c r="B16" s="5" t="s">
        <v>31</v>
      </c>
      <c r="C16" s="27">
        <v>2</v>
      </c>
      <c r="D16" s="6" t="s">
        <v>32</v>
      </c>
      <c r="E16" s="13">
        <v>0.49</v>
      </c>
      <c r="F16" s="11">
        <v>0.98</v>
      </c>
      <c r="J16" s="2" t="s">
        <v>13</v>
      </c>
      <c r="K16" s="7">
        <v>20</v>
      </c>
      <c r="L16" s="3">
        <v>4420</v>
      </c>
      <c r="O16" s="2" t="s">
        <v>106</v>
      </c>
      <c r="P16" s="1">
        <v>3</v>
      </c>
      <c r="Q16" s="1">
        <v>14.85</v>
      </c>
      <c r="X16" s="1"/>
      <c r="Y16" s="1"/>
      <c r="Z16" s="1"/>
    </row>
    <row r="17" spans="2:26" ht="28.8">
      <c r="B17" s="5" t="s">
        <v>33</v>
      </c>
      <c r="C17" s="27">
        <v>2</v>
      </c>
      <c r="D17" s="6" t="s">
        <v>34</v>
      </c>
      <c r="E17" s="14">
        <v>0.59</v>
      </c>
      <c r="F17" s="11">
        <v>1.18</v>
      </c>
      <c r="J17" s="2" t="s">
        <v>14</v>
      </c>
      <c r="K17" s="7">
        <v>2</v>
      </c>
      <c r="L17" s="3">
        <v>22260</v>
      </c>
      <c r="O17" s="2" t="s">
        <v>91</v>
      </c>
      <c r="P17" s="1">
        <v>1</v>
      </c>
      <c r="Q17" s="1">
        <v>0.6</v>
      </c>
      <c r="X17" s="1"/>
      <c r="Y17" s="1"/>
      <c r="Z17" s="1"/>
    </row>
    <row r="18" spans="2:26" ht="28.8">
      <c r="B18" s="5" t="s">
        <v>35</v>
      </c>
      <c r="C18" s="27">
        <v>1</v>
      </c>
      <c r="D18" s="6" t="s">
        <v>36</v>
      </c>
      <c r="E18" s="14">
        <v>5.71</v>
      </c>
      <c r="F18" s="14">
        <v>5.71</v>
      </c>
      <c r="J18" s="2" t="s">
        <v>15</v>
      </c>
      <c r="K18" s="7">
        <v>5</v>
      </c>
      <c r="L18" s="3">
        <v>20584</v>
      </c>
      <c r="O18" s="2" t="s">
        <v>92</v>
      </c>
      <c r="P18" s="1">
        <v>10</v>
      </c>
      <c r="Q18" s="1">
        <v>4.68</v>
      </c>
      <c r="X18" s="1"/>
      <c r="Y18" s="1"/>
      <c r="Z18" s="1"/>
    </row>
    <row r="19" spans="2:26" ht="28.8">
      <c r="B19" s="5" t="s">
        <v>37</v>
      </c>
      <c r="C19" s="27">
        <v>2</v>
      </c>
      <c r="D19" s="6" t="s">
        <v>38</v>
      </c>
      <c r="E19" s="14">
        <v>5.32</v>
      </c>
      <c r="F19" s="11">
        <v>10.64</v>
      </c>
      <c r="J19" s="37" t="s">
        <v>86</v>
      </c>
      <c r="K19" s="38"/>
      <c r="L19" s="3">
        <f>+SUM(L5:L18)</f>
        <v>112774</v>
      </c>
      <c r="O19" s="2" t="s">
        <v>93</v>
      </c>
      <c r="P19" s="1">
        <v>10</v>
      </c>
      <c r="Q19" s="1">
        <v>4.18</v>
      </c>
      <c r="X19" s="1"/>
      <c r="Y19" s="1"/>
      <c r="Z19" s="1"/>
    </row>
    <row r="20" spans="2:26" ht="28.8">
      <c r="B20" s="5" t="s">
        <v>39</v>
      </c>
      <c r="C20" s="27">
        <v>2</v>
      </c>
      <c r="D20" s="6" t="s">
        <v>40</v>
      </c>
      <c r="E20" s="14">
        <v>0.11</v>
      </c>
      <c r="F20" s="11">
        <v>0.22</v>
      </c>
      <c r="O20" s="39" t="s">
        <v>116</v>
      </c>
      <c r="P20" s="40">
        <v>10</v>
      </c>
      <c r="Q20" s="40">
        <v>4.0999999999999996</v>
      </c>
      <c r="X20" s="1"/>
      <c r="Y20" s="1"/>
      <c r="Z20" s="1"/>
    </row>
    <row r="21" spans="2:26" ht="28.8">
      <c r="B21" s="5" t="s">
        <v>41</v>
      </c>
      <c r="C21" s="27">
        <v>2</v>
      </c>
      <c r="D21" s="6" t="s">
        <v>42</v>
      </c>
      <c r="E21" s="14">
        <v>0.12</v>
      </c>
      <c r="F21" s="11">
        <v>0.24</v>
      </c>
      <c r="O21" s="2" t="s">
        <v>94</v>
      </c>
      <c r="P21" s="1">
        <v>10</v>
      </c>
      <c r="Q21" s="1">
        <v>1.91</v>
      </c>
      <c r="X21" s="1"/>
      <c r="Y21" s="1"/>
      <c r="Z21" s="1"/>
    </row>
    <row r="22" spans="2:26" ht="28.8">
      <c r="B22" s="5" t="s">
        <v>43</v>
      </c>
      <c r="C22" s="27">
        <v>2</v>
      </c>
      <c r="D22" s="6" t="s">
        <v>68</v>
      </c>
      <c r="E22" s="14">
        <v>0.43</v>
      </c>
      <c r="F22" s="11">
        <v>0.86</v>
      </c>
      <c r="O22" s="2" t="s">
        <v>95</v>
      </c>
      <c r="P22" s="1">
        <v>10</v>
      </c>
      <c r="Q22" s="1">
        <v>1.84</v>
      </c>
    </row>
    <row r="23" spans="2:26" ht="28.8">
      <c r="B23" s="5" t="s">
        <v>44</v>
      </c>
      <c r="C23" s="27">
        <v>2</v>
      </c>
      <c r="D23" s="6" t="s">
        <v>45</v>
      </c>
      <c r="E23" s="14">
        <v>0.14000000000000001</v>
      </c>
      <c r="F23" s="11">
        <v>0.28000000000000003</v>
      </c>
      <c r="O23" s="2" t="s">
        <v>98</v>
      </c>
      <c r="P23" s="1">
        <v>2</v>
      </c>
      <c r="Q23" s="1">
        <v>0.4</v>
      </c>
    </row>
    <row r="24" spans="2:26">
      <c r="B24" s="5"/>
      <c r="C24" s="27"/>
      <c r="D24" s="6"/>
      <c r="E24" s="14"/>
      <c r="F24" s="11"/>
      <c r="O24" s="45" t="s">
        <v>117</v>
      </c>
      <c r="P24" s="46"/>
      <c r="Q24" s="1">
        <v>14.1</v>
      </c>
    </row>
    <row r="25" spans="2:26" ht="28.8">
      <c r="B25" s="5" t="s">
        <v>73</v>
      </c>
      <c r="C25" s="27">
        <v>20</v>
      </c>
      <c r="D25" s="15">
        <v>100</v>
      </c>
      <c r="E25" s="16">
        <v>3.7999999999999999E-2</v>
      </c>
      <c r="F25" s="11">
        <v>0.76</v>
      </c>
      <c r="O25" s="41" t="s">
        <v>85</v>
      </c>
      <c r="P25" s="42"/>
      <c r="Q25" s="1">
        <f>+SUM(Q5:Q24)</f>
        <v>306.80000000000007</v>
      </c>
    </row>
    <row r="26" spans="2:26">
      <c r="B26" s="5"/>
      <c r="C26" s="27"/>
      <c r="D26" s="15"/>
      <c r="E26" s="16"/>
      <c r="F26" s="11"/>
      <c r="O26" s="43" t="s">
        <v>86</v>
      </c>
      <c r="P26" s="47">
        <v>6350</v>
      </c>
      <c r="Q26" s="1">
        <f>+P26*Q25</f>
        <v>1948180.0000000005</v>
      </c>
    </row>
    <row r="27" spans="2:26">
      <c r="B27" s="5" t="s">
        <v>76</v>
      </c>
      <c r="C27" s="27">
        <v>10</v>
      </c>
      <c r="D27" s="6" t="s">
        <v>52</v>
      </c>
      <c r="E27" s="16">
        <v>2.9000000000000001E-2</v>
      </c>
      <c r="F27" s="11">
        <v>0.28999999999999998</v>
      </c>
    </row>
    <row r="28" spans="2:26">
      <c r="B28" s="5" t="s">
        <v>75</v>
      </c>
      <c r="C28" s="27">
        <v>5</v>
      </c>
      <c r="D28" s="6" t="s">
        <v>51</v>
      </c>
      <c r="E28" s="14">
        <v>0.27</v>
      </c>
      <c r="F28" s="11">
        <v>1.35</v>
      </c>
    </row>
    <row r="29" spans="2:26">
      <c r="B29" s="5" t="s">
        <v>71</v>
      </c>
      <c r="C29" s="27">
        <v>5</v>
      </c>
      <c r="D29" s="6" t="s">
        <v>47</v>
      </c>
      <c r="E29" s="14">
        <v>0.1</v>
      </c>
      <c r="F29" s="11">
        <v>0.5</v>
      </c>
    </row>
    <row r="30" spans="2:26">
      <c r="B30" s="5" t="s">
        <v>70</v>
      </c>
      <c r="C30" s="27">
        <v>20</v>
      </c>
      <c r="D30" s="6" t="s">
        <v>46</v>
      </c>
      <c r="E30" s="17">
        <v>3.5000000000000003E-2</v>
      </c>
      <c r="F30" s="11">
        <v>0.7</v>
      </c>
    </row>
    <row r="31" spans="2:26">
      <c r="B31" s="5" t="s">
        <v>72</v>
      </c>
      <c r="C31" s="27">
        <v>10</v>
      </c>
      <c r="D31" s="6" t="s">
        <v>48</v>
      </c>
      <c r="E31" s="17">
        <v>2.9000000000000001E-2</v>
      </c>
      <c r="F31" s="11">
        <v>0.28999999999999998</v>
      </c>
    </row>
    <row r="32" spans="2:26">
      <c r="B32" s="5" t="s">
        <v>74</v>
      </c>
      <c r="C32" s="27">
        <v>3</v>
      </c>
      <c r="D32" s="6" t="s">
        <v>50</v>
      </c>
      <c r="E32" s="14">
        <v>0.28999999999999998</v>
      </c>
      <c r="F32" s="11">
        <v>0.78</v>
      </c>
    </row>
    <row r="33" spans="2:8">
      <c r="B33" s="5" t="s">
        <v>78</v>
      </c>
      <c r="C33" s="27">
        <v>5</v>
      </c>
      <c r="D33" s="6" t="s">
        <v>49</v>
      </c>
      <c r="E33" s="14">
        <v>0.11</v>
      </c>
      <c r="F33" s="11">
        <f>+E33*C33</f>
        <v>0.55000000000000004</v>
      </c>
    </row>
    <row r="34" spans="2:8">
      <c r="B34" s="5" t="s">
        <v>77</v>
      </c>
      <c r="C34" s="27">
        <v>3</v>
      </c>
      <c r="D34" s="6" t="s">
        <v>53</v>
      </c>
      <c r="E34" s="14">
        <v>0.26</v>
      </c>
      <c r="F34" s="11">
        <f>+E34*C34</f>
        <v>0.78</v>
      </c>
    </row>
    <row r="35" spans="2:8">
      <c r="B35" s="5" t="s">
        <v>54</v>
      </c>
      <c r="C35" s="27">
        <v>1</v>
      </c>
      <c r="D35" s="6" t="s">
        <v>55</v>
      </c>
      <c r="E35" s="14">
        <v>0.74</v>
      </c>
      <c r="F35" s="11">
        <v>0.74</v>
      </c>
    </row>
    <row r="36" spans="2:8">
      <c r="B36" s="5" t="s">
        <v>56</v>
      </c>
      <c r="C36" s="27">
        <v>1</v>
      </c>
      <c r="D36" s="6" t="s">
        <v>108</v>
      </c>
      <c r="E36" s="14">
        <v>1.8</v>
      </c>
      <c r="F36" s="11">
        <v>1.8</v>
      </c>
    </row>
    <row r="37" spans="2:8">
      <c r="B37" s="5" t="s">
        <v>69</v>
      </c>
      <c r="C37" s="27">
        <v>2</v>
      </c>
      <c r="D37" s="6" t="s">
        <v>57</v>
      </c>
      <c r="E37" s="14">
        <v>0.49</v>
      </c>
      <c r="F37" s="11">
        <v>0.98</v>
      </c>
    </row>
    <row r="38" spans="2:8">
      <c r="B38" s="5" t="s">
        <v>58</v>
      </c>
      <c r="C38" s="27">
        <v>2</v>
      </c>
      <c r="D38" s="6" t="s">
        <v>59</v>
      </c>
      <c r="E38" s="14">
        <v>0.49</v>
      </c>
      <c r="F38" s="11">
        <v>0.98</v>
      </c>
      <c r="H38" s="18"/>
    </row>
    <row r="39" spans="2:8">
      <c r="B39" s="5" t="s">
        <v>82</v>
      </c>
      <c r="C39" s="7"/>
      <c r="D39" s="6" t="s">
        <v>83</v>
      </c>
      <c r="E39" s="1">
        <v>2.0699999999999998</v>
      </c>
      <c r="F39" s="22">
        <v>2.0699999999999998</v>
      </c>
      <c r="H39" s="18"/>
    </row>
    <row r="40" spans="2:8">
      <c r="B40" s="5" t="s">
        <v>84</v>
      </c>
      <c r="C40" s="7"/>
      <c r="D40" s="6"/>
      <c r="E40" s="1"/>
      <c r="F40" s="22">
        <v>3.14</v>
      </c>
      <c r="H40" s="32"/>
    </row>
    <row r="41" spans="2:8">
      <c r="B41" s="33"/>
      <c r="C41" s="34"/>
      <c r="D41" s="34"/>
      <c r="E41" s="35"/>
      <c r="F41" s="22"/>
      <c r="H41" s="32"/>
    </row>
    <row r="42" spans="2:8">
      <c r="B42" s="29" t="s">
        <v>85</v>
      </c>
      <c r="C42" s="29"/>
      <c r="D42" s="29"/>
      <c r="E42" s="29"/>
      <c r="F42" s="23">
        <f>+SUM(F5:F40)</f>
        <v>55.089999999999996</v>
      </c>
      <c r="H42" s="32"/>
    </row>
    <row r="43" spans="2:8">
      <c r="B43" s="5" t="s">
        <v>86</v>
      </c>
      <c r="C43" s="31" t="s">
        <v>87</v>
      </c>
      <c r="D43" s="31"/>
      <c r="E43" s="30">
        <v>6380</v>
      </c>
      <c r="F43" s="1">
        <f>+F42*E43</f>
        <v>351474.19999999995</v>
      </c>
      <c r="G43" s="18"/>
      <c r="H43" s="18"/>
    </row>
    <row r="44" spans="2:8">
      <c r="B44" s="18"/>
      <c r="C44" s="18"/>
      <c r="D44" s="18"/>
      <c r="E44" s="18"/>
      <c r="F44" s="18"/>
      <c r="G44" s="18"/>
      <c r="H44" s="18"/>
    </row>
    <row r="45" spans="2:8">
      <c r="B45" s="18"/>
      <c r="C45" s="18"/>
      <c r="D45" s="18"/>
      <c r="E45" s="19"/>
      <c r="F45" s="20"/>
      <c r="G45" s="18"/>
      <c r="H45" s="18"/>
    </row>
    <row r="46" spans="2:8">
      <c r="B46" s="18"/>
      <c r="C46" s="18"/>
      <c r="D46" s="18"/>
      <c r="E46" s="19"/>
      <c r="F46" s="20"/>
      <c r="G46" s="18"/>
      <c r="H46" s="18"/>
    </row>
    <row r="47" spans="2:8">
      <c r="B47" s="18"/>
      <c r="C47" s="18"/>
      <c r="D47" s="18"/>
      <c r="E47" s="19"/>
      <c r="F47" s="20"/>
      <c r="G47" s="18"/>
    </row>
    <row r="48" spans="2:8">
      <c r="B48" s="18"/>
      <c r="C48" s="18"/>
      <c r="D48" s="18"/>
      <c r="E48" s="10"/>
      <c r="F48" s="21"/>
      <c r="G48" s="18"/>
    </row>
    <row r="49" spans="2:7">
      <c r="B49" s="18"/>
      <c r="C49" s="18"/>
      <c r="D49" s="18"/>
      <c r="E49" s="18" t="s">
        <v>88</v>
      </c>
      <c r="F49" s="18"/>
      <c r="G49" s="18"/>
    </row>
    <row r="50" spans="2:7">
      <c r="B50" s="18"/>
      <c r="C50" s="18"/>
      <c r="D50" s="18"/>
      <c r="E50" s="18"/>
      <c r="F50" s="18"/>
      <c r="G50" s="18"/>
    </row>
  </sheetData>
  <mergeCells count="9">
    <mergeCell ref="X3:Z3"/>
    <mergeCell ref="J19:K19"/>
    <mergeCell ref="O25:P25"/>
    <mergeCell ref="J3:L3"/>
    <mergeCell ref="B3:F3"/>
    <mergeCell ref="B42:E42"/>
    <mergeCell ref="C43:D43"/>
    <mergeCell ref="B41:E41"/>
    <mergeCell ref="O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Jara Acosta</dc:creator>
  <cp:lastModifiedBy>Jose Jara Acosta</cp:lastModifiedBy>
  <dcterms:created xsi:type="dcterms:W3CDTF">2026-05-23T12:24:33Z</dcterms:created>
  <dcterms:modified xsi:type="dcterms:W3CDTF">2026-05-23T15:41:57Z</dcterms:modified>
</cp:coreProperties>
</file>